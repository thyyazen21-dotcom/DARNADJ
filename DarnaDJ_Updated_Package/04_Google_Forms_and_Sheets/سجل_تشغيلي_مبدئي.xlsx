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" sheetId="1" state="visible" r:id="rId1"/>
    <sheet xmlns:r="http://schemas.openxmlformats.org/officeDocument/2006/relationships" name="Owners_Agents" sheetId="2" state="visible" r:id="rId2"/>
    <sheet xmlns:r="http://schemas.openxmlformats.org/officeDocument/2006/relationships" name="Leads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Complaints" sheetId="5" state="visible" r:id="rId5"/>
    <sheet xmlns:r="http://schemas.openxmlformats.org/officeDocument/2006/relationships" name="Content_QA" sheetId="6" state="visible" r:id="rId6"/>
    <sheet xmlns:r="http://schemas.openxmlformats.org/officeDocument/2006/relationships" name="Revenue_Model" sheetId="7" state="visible" r:id="rId7"/>
  </sheets>
  <definedNames>
    <definedName name="_xlnm._FilterDatabase" localSheetId="0" hidden="1">'Properties'!$A$1:$U$2</definedName>
    <definedName name="_xlnm._FilterDatabase" localSheetId="1" hidden="1">'Owners_Agents'!$A$1:$I$2</definedName>
    <definedName name="_xlnm._FilterDatabase" localSheetId="2" hidden="1">'Leads'!$A$1:$K$2</definedName>
    <definedName name="_xlnm._FilterDatabase" localSheetId="3" hidden="1">'Transactions'!$A$1:$N$2</definedName>
    <definedName name="_xlnm._FilterDatabase" localSheetId="4" hidden="1">'Complaints'!$A$1:$K$2</definedName>
    <definedName name="_xlnm._FilterDatabase" localSheetId="5" hidden="1">'Content_QA'!$A$1:$J$2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21" customWidth="1" min="13" max="13"/>
    <col width="14" customWidth="1" min="14" max="14"/>
    <col width="14" customWidth="1" min="15" max="15"/>
    <col width="14" customWidth="1" min="16" max="16"/>
    <col width="15" customWidth="1" min="17" max="17"/>
    <col width="18" customWidth="1" min="18" max="18"/>
    <col width="25" customWidth="1" min="19" max="19"/>
    <col width="14" customWidth="1" min="20" max="20"/>
    <col width="34" customWidth="1" min="21" max="21"/>
  </cols>
  <sheetData>
    <row r="1">
      <c r="A1" s="1" t="inlineStr">
        <is>
          <t>Property ID</t>
        </is>
      </c>
      <c r="B1" s="1" t="inlineStr">
        <is>
          <t>Status</t>
        </is>
      </c>
      <c r="C1" s="1" t="inlineStr">
        <is>
          <t>Type</t>
        </is>
      </c>
      <c r="D1" s="1" t="inlineStr">
        <is>
          <t>Neighborhood</t>
        </is>
      </c>
      <c r="E1" s="1" t="inlineStr">
        <is>
          <t>Address/Map URL</t>
        </is>
      </c>
      <c r="F1" s="1" t="inlineStr">
        <is>
          <t>Owner ID</t>
        </is>
      </c>
      <c r="G1" s="1" t="inlineStr">
        <is>
          <t>Agent ID</t>
        </is>
      </c>
      <c r="H1" s="1" t="inlineStr">
        <is>
          <t>Base Price USD</t>
        </is>
      </c>
      <c r="I1" s="1" t="inlineStr">
        <is>
          <t>Price Period</t>
        </is>
      </c>
      <c r="J1" s="1" t="inlineStr">
        <is>
          <t>Bedrooms</t>
        </is>
      </c>
      <c r="K1" s="1" t="inlineStr">
        <is>
          <t>Bathrooms</t>
        </is>
      </c>
      <c r="L1" s="1" t="inlineStr">
        <is>
          <t>Capacity</t>
        </is>
      </c>
      <c r="M1" s="1" t="inlineStr">
        <is>
          <t>Amenities</t>
        </is>
      </c>
      <c r="N1" s="1" t="inlineStr">
        <is>
          <t>Arabic URL</t>
        </is>
      </c>
      <c r="O1" s="1" t="inlineStr">
        <is>
          <t>English URL</t>
        </is>
      </c>
      <c r="P1" s="1" t="inlineStr">
        <is>
          <t>French URL</t>
        </is>
      </c>
      <c r="Q1" s="1" t="inlineStr">
        <is>
          <t>Photo Consent</t>
        </is>
      </c>
      <c r="R1" s="1" t="inlineStr">
        <is>
          <t>Last Price Check</t>
        </is>
      </c>
      <c r="S1" s="1" t="inlineStr">
        <is>
          <t>Last Availability Check</t>
        </is>
      </c>
      <c r="T1" s="1" t="inlineStr">
        <is>
          <t>Verified By</t>
        </is>
      </c>
      <c r="U1" s="1" t="inlineStr">
        <is>
          <t>Notes</t>
        </is>
      </c>
    </row>
    <row r="2">
      <c r="A2" s="2" t="inlineStr">
        <is>
          <t>DJ-APT-0001</t>
        </is>
      </c>
      <c r="B2" s="2" t="inlineStr">
        <is>
          <t>Draft</t>
        </is>
      </c>
      <c r="C2" s="2" t="inlineStr">
        <is>
          <t>شقة</t>
        </is>
      </c>
      <c r="D2" s="2" t="inlineStr">
        <is>
          <t>هيرون</t>
        </is>
      </c>
      <c r="E2" s="2" t="inlineStr"/>
      <c r="F2" s="2" t="inlineStr">
        <is>
          <t>OWN-0001</t>
        </is>
      </c>
      <c r="G2" s="2" t="inlineStr"/>
      <c r="H2" s="2" t="inlineStr">
        <is>
          <t>1000</t>
        </is>
      </c>
      <c r="I2" s="2" t="inlineStr">
        <is>
          <t>شهريًا</t>
        </is>
      </c>
      <c r="J2" s="2" t="inlineStr">
        <is>
          <t>2</t>
        </is>
      </c>
      <c r="K2" s="2" t="inlineStr">
        <is>
          <t>1</t>
        </is>
      </c>
      <c r="L2" s="2" t="inlineStr">
        <is>
          <t>4</t>
        </is>
      </c>
      <c r="M2" s="2" t="inlineStr">
        <is>
          <t>تكييف; مطبخ; إنترنت</t>
        </is>
      </c>
      <c r="N2" s="2" t="inlineStr"/>
      <c r="O2" s="2" t="inlineStr"/>
      <c r="P2" s="2" t="inlineStr"/>
      <c r="Q2" s="2" t="inlineStr">
        <is>
          <t>Pending</t>
        </is>
      </c>
      <c r="R2" s="2" t="inlineStr"/>
      <c r="S2" s="2" t="inlineStr"/>
      <c r="T2" s="2" t="inlineStr"/>
      <c r="U2" s="2" t="inlineStr">
        <is>
          <t>بيانات تجريبية — لا تنشر قبل التحقق</t>
        </is>
      </c>
    </row>
  </sheetData>
  <autoFilter ref="A1:U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21" customWidth="1" min="5" max="5"/>
    <col width="16" customWidth="1" min="6" max="6"/>
    <col width="17" customWidth="1" min="7" max="7"/>
    <col width="16" customWidth="1" min="8" max="8"/>
    <col width="14" customWidth="1" min="9" max="9"/>
  </cols>
  <sheetData>
    <row r="1">
      <c r="A1" s="1" t="inlineStr">
        <is>
          <t>Owner/Agent 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Phone</t>
        </is>
      </c>
      <c r="E1" s="1" t="inlineStr">
        <is>
          <t>Verification Status</t>
        </is>
      </c>
      <c r="F1" s="1" t="inlineStr">
        <is>
          <t>Agreement Date</t>
        </is>
      </c>
      <c r="G1" s="1" t="inlineStr">
        <is>
          <t>Commission Rate</t>
        </is>
      </c>
      <c r="H1" s="1" t="inlineStr">
        <is>
          <t>Payment Method</t>
        </is>
      </c>
      <c r="I1" s="1" t="inlineStr">
        <is>
          <t>Notes</t>
        </is>
      </c>
    </row>
    <row r="2">
      <c r="A2" s="2" t="inlineStr">
        <is>
          <t>OWN-0001</t>
        </is>
      </c>
      <c r="B2" s="2" t="inlineStr"/>
      <c r="C2" s="2" t="inlineStr">
        <is>
          <t>مالك</t>
        </is>
      </c>
      <c r="D2" s="2" t="inlineStr"/>
      <c r="E2" s="2" t="inlineStr">
        <is>
          <t>Pending</t>
        </is>
      </c>
      <c r="F2" s="2" t="inlineStr"/>
      <c r="G2" s="2" t="inlineStr">
        <is>
          <t>10%</t>
        </is>
      </c>
      <c r="H2" s="2" t="inlineStr"/>
      <c r="I2" s="2" t="inlineStr"/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4" customWidth="1" min="7" max="7"/>
    <col width="18" customWidth="1" min="8" max="8"/>
    <col width="14" customWidth="1" min="9" max="9"/>
    <col width="16" customWidth="1" min="10" max="10"/>
    <col width="14" customWidth="1" min="11" max="11"/>
  </cols>
  <sheetData>
    <row r="1">
      <c r="A1" s="1" t="inlineStr">
        <is>
          <t>Lead ID</t>
        </is>
      </c>
      <c r="B1" s="1" t="inlineStr">
        <is>
          <t>Timestamp</t>
        </is>
      </c>
      <c r="C1" s="1" t="inlineStr">
        <is>
          <t>Property ID</t>
        </is>
      </c>
      <c r="D1" s="1" t="inlineStr">
        <is>
          <t>Source</t>
        </is>
      </c>
      <c r="E1" s="1" t="inlineStr">
        <is>
          <t>Language</t>
        </is>
      </c>
      <c r="F1" s="1" t="inlineStr">
        <is>
          <t>Requested Dates</t>
        </is>
      </c>
      <c r="G1" s="1" t="inlineStr">
        <is>
          <t>Guests</t>
        </is>
      </c>
      <c r="H1" s="1" t="inlineStr">
        <is>
          <t>Customer Contact</t>
        </is>
      </c>
      <c r="I1" s="1" t="inlineStr">
        <is>
          <t>Status</t>
        </is>
      </c>
      <c r="J1" s="1" t="inlineStr">
        <is>
          <t>Last Follow-up</t>
        </is>
      </c>
      <c r="K1" s="1" t="inlineStr">
        <is>
          <t>Outcome</t>
        </is>
      </c>
    </row>
    <row r="2">
      <c r="A2" s="2" t="inlineStr">
        <is>
          <t>LEAD-0001</t>
        </is>
      </c>
      <c r="B2" s="2" t="inlineStr"/>
      <c r="C2" s="2" t="inlineStr">
        <is>
          <t>DJ-APT-0001</t>
        </is>
      </c>
      <c r="D2" s="2" t="inlineStr">
        <is>
          <t>WhatsApp</t>
        </is>
      </c>
      <c r="E2" s="2" t="inlineStr">
        <is>
          <t>AR</t>
        </is>
      </c>
      <c r="F2" s="2" t="inlineStr"/>
      <c r="G2" s="2" t="inlineStr"/>
      <c r="H2" s="2" t="inlineStr"/>
      <c r="I2" s="2" t="inlineStr">
        <is>
          <t>New</t>
        </is>
      </c>
      <c r="J2" s="2" t="inlineStr"/>
      <c r="K2" s="2" t="inlineStr"/>
    </row>
  </sheetData>
  <autoFilter ref="A1: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1" customWidth="1" min="4" max="4"/>
    <col width="19" customWidth="1" min="5" max="5"/>
    <col width="20" customWidth="1" min="6" max="6"/>
    <col width="22" customWidth="1" min="7" max="7"/>
    <col width="16" customWidth="1" min="8" max="8"/>
    <col width="14" customWidth="1" min="9" max="9"/>
    <col width="14" customWidth="1" min="10" max="10"/>
    <col width="18" customWidth="1" min="11" max="11"/>
    <col width="28" customWidth="1" min="12" max="12"/>
    <col width="34" customWidth="1" min="13" max="13"/>
    <col width="15" customWidth="1" min="14" max="14"/>
  </cols>
  <sheetData>
    <row r="1">
      <c r="A1" s="1" t="inlineStr">
        <is>
          <t>Transaction ID</t>
        </is>
      </c>
      <c r="B1" s="1" t="inlineStr">
        <is>
          <t>Lead ID</t>
        </is>
      </c>
      <c r="C1" s="1" t="inlineStr">
        <is>
          <t>Property ID</t>
        </is>
      </c>
      <c r="D1" s="1" t="inlineStr">
        <is>
          <t>Contracted Rent USD</t>
        </is>
      </c>
      <c r="E1" s="1" t="inlineStr">
        <is>
          <t>Owner Fee Due USD</t>
        </is>
      </c>
      <c r="F1" s="1" t="inlineStr">
        <is>
          <t>Tenant Fee Due USD</t>
        </is>
      </c>
      <c r="G1" s="1" t="inlineStr">
        <is>
          <t>Amount Collected USD</t>
        </is>
      </c>
      <c r="H1" s="1" t="inlineStr">
        <is>
          <t>Receipt Number</t>
        </is>
      </c>
      <c r="I1" s="1" t="inlineStr">
        <is>
          <t>Date</t>
        </is>
      </c>
      <c r="J1" s="1" t="inlineStr">
        <is>
          <t>Refund USD</t>
        </is>
      </c>
      <c r="K1" s="1" t="inlineStr">
        <is>
          <t>Broker Share USD</t>
        </is>
      </c>
      <c r="L1" s="1" t="inlineStr">
        <is>
          <t>Gross Platform Revenue USD</t>
        </is>
      </c>
      <c r="M1" s="1" t="inlineStr">
        <is>
          <t>Net after listed adjustments USD</t>
        </is>
      </c>
      <c r="N1" s="1" t="inlineStr">
        <is>
          <t>Reconciled By</t>
        </is>
      </c>
    </row>
    <row r="2">
      <c r="A2" s="2" t="inlineStr">
        <is>
          <t>TX-0001</t>
        </is>
      </c>
      <c r="B2" s="2" t="inlineStr">
        <is>
          <t>LEAD-0001</t>
        </is>
      </c>
      <c r="C2" s="2" t="inlineStr">
        <is>
          <t>DJ-APT-0001</t>
        </is>
      </c>
      <c r="D2" s="2" t="n">
        <v>1000</v>
      </c>
      <c r="E2" s="2" t="n">
        <v>100</v>
      </c>
      <c r="F2" s="2" t="n">
        <v>100</v>
      </c>
      <c r="G2" s="2" t="n">
        <v>0</v>
      </c>
      <c r="H2" s="2" t="inlineStr"/>
      <c r="I2" s="2" t="inlineStr"/>
      <c r="J2" s="2" t="inlineStr"/>
      <c r="K2" s="2" t="n">
        <v>0</v>
      </c>
      <c r="L2" s="2" t="n">
        <v>0</v>
      </c>
      <c r="M2" s="2" t="n">
        <v>0</v>
      </c>
      <c r="N2" s="2" t="inlineStr"/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Complaint ID</t>
        </is>
      </c>
      <c r="B1" s="1" t="inlineStr">
        <is>
          <t>Date</t>
        </is>
      </c>
      <c r="C1" s="1" t="inlineStr">
        <is>
          <t>Property ID</t>
        </is>
      </c>
      <c r="D1" s="1" t="inlineStr">
        <is>
          <t>Customer</t>
        </is>
      </c>
      <c r="E1" s="1" t="inlineStr">
        <is>
          <t>Category</t>
        </is>
      </c>
      <c r="F1" s="1" t="inlineStr">
        <is>
          <t>Severity</t>
        </is>
      </c>
      <c r="G1" s="1" t="inlineStr">
        <is>
          <t>Evidence Link</t>
        </is>
      </c>
      <c r="H1" s="1" t="inlineStr">
        <is>
          <t>Assigned To</t>
        </is>
      </c>
      <c r="I1" s="1" t="inlineStr">
        <is>
          <t>Status</t>
        </is>
      </c>
      <c r="J1" s="1" t="inlineStr">
        <is>
          <t>Resolution</t>
        </is>
      </c>
      <c r="K1" s="1" t="inlineStr">
        <is>
          <t>Closed Date</t>
        </is>
      </c>
    </row>
    <row r="2">
      <c r="A2" s="2" t="inlineStr">
        <is>
          <t>COMP-0001</t>
        </is>
      </c>
      <c r="B2" s="2" t="inlineStr"/>
      <c r="C2" s="2" t="inlineStr">
        <is>
          <t>DJ-APT-0001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Open</t>
        </is>
      </c>
      <c r="J2" s="2" t="inlineStr"/>
      <c r="K2" s="2" t="inlineStr"/>
    </row>
  </sheetData>
  <autoFilter ref="A1:K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2" customWidth="1" min="5" max="5"/>
    <col width="14" customWidth="1" min="6" max="6"/>
    <col width="14" customWidth="1" min="7" max="7"/>
    <col width="16" customWidth="1" min="8" max="8"/>
    <col width="17" customWidth="1" min="9" max="9"/>
    <col width="14" customWidth="1" min="10" max="10"/>
  </cols>
  <sheetData>
    <row r="1">
      <c r="A1" s="1" t="inlineStr">
        <is>
          <t>Property ID</t>
        </is>
      </c>
      <c r="B1" s="1" t="inlineStr">
        <is>
          <t>Arabic URL</t>
        </is>
      </c>
      <c r="C1" s="1" t="inlineStr">
        <is>
          <t>English URL</t>
        </is>
      </c>
      <c r="D1" s="1" t="inlineStr">
        <is>
          <t>French URL</t>
        </is>
      </c>
      <c r="E1" s="1" t="inlineStr">
        <is>
          <t>Translation Reviewed</t>
        </is>
      </c>
      <c r="F1" s="1" t="inlineStr">
        <is>
          <t>SEO Title</t>
        </is>
      </c>
      <c r="G1" s="1" t="inlineStr">
        <is>
          <t>Description</t>
        </is>
      </c>
      <c r="H1" s="1" t="inlineStr">
        <is>
          <t>Image Alt Text</t>
        </is>
      </c>
      <c r="I1" s="1" t="inlineStr">
        <is>
          <t>Canonical Check</t>
        </is>
      </c>
      <c r="J1" s="1" t="inlineStr">
        <is>
          <t>QA Status</t>
        </is>
      </c>
    </row>
    <row r="2">
      <c r="A2" s="2" t="inlineStr">
        <is>
          <t>DJ-APT-0001</t>
        </is>
      </c>
      <c r="B2" s="2" t="inlineStr"/>
      <c r="C2" s="2" t="inlineStr"/>
      <c r="D2" s="2" t="inlineStr"/>
      <c r="E2" s="2" t="inlineStr">
        <is>
          <t>No</t>
        </is>
      </c>
      <c r="F2" s="2" t="inlineStr"/>
      <c r="G2" s="2" t="inlineStr"/>
      <c r="H2" s="2" t="inlineStr"/>
      <c r="I2" s="2" t="inlineStr">
        <is>
          <t>Pending</t>
        </is>
      </c>
      <c r="J2" s="2" t="inlineStr">
        <is>
          <t>Draft</t>
        </is>
      </c>
    </row>
  </sheetData>
  <autoFilter ref="A1:J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5" customWidth="1" min="2" max="2"/>
    <col width="78" customWidth="1" min="3" max="3"/>
  </cols>
  <sheetData>
    <row r="1">
      <c r="A1" s="1" t="inlineStr">
        <is>
          <t>Input/Output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Base rent USD</t>
        </is>
      </c>
      <c r="B2" s="2" t="n">
        <v>1000</v>
      </c>
      <c r="C2" s="2" t="inlineStr">
        <is>
          <t>Example only; specify rental period in agreement</t>
        </is>
      </c>
    </row>
    <row r="3">
      <c r="A3" s="2" t="inlineStr">
        <is>
          <t>Owner commission rate</t>
        </is>
      </c>
      <c r="B3" s="2" t="n">
        <v>0.1</v>
      </c>
      <c r="C3" s="2" t="inlineStr">
        <is>
          <t>Proposed; requires signed agreement/local review</t>
        </is>
      </c>
    </row>
    <row r="4">
      <c r="A4" s="2" t="inlineStr">
        <is>
          <t>Tenant service fee rate</t>
        </is>
      </c>
      <c r="B4" s="2" t="n">
        <v>0.1</v>
      </c>
      <c r="C4" s="2" t="inlineStr">
        <is>
          <t>Must be disclosed and accepted before booking</t>
        </is>
      </c>
    </row>
    <row r="5">
      <c r="A5" s="2" t="inlineStr">
        <is>
          <t>Owner fee USD</t>
        </is>
      </c>
      <c r="B5" s="2">
        <f>B2*B3</f>
        <v/>
      </c>
      <c r="C5" s="2" t="inlineStr">
        <is>
          <t>Contractual amount due from owner</t>
        </is>
      </c>
    </row>
    <row r="6">
      <c r="A6" s="2" t="inlineStr">
        <is>
          <t>Tenant fee USD</t>
        </is>
      </c>
      <c r="B6" s="2">
        <f>B2*B4</f>
        <v/>
      </c>
      <c r="C6" s="2" t="inlineStr">
        <is>
          <t>Separate fee due from tenant</t>
        </is>
      </c>
    </row>
    <row r="7">
      <c r="A7" s="2" t="inlineStr">
        <is>
          <t>Gross platform revenue USD</t>
        </is>
      </c>
      <c r="B7" s="2">
        <f>B5+B6</f>
        <v/>
      </c>
      <c r="C7" s="2" t="inlineStr">
        <is>
          <t>Before expenses, taxes, broker share and refunds</t>
        </is>
      </c>
    </row>
    <row r="8">
      <c r="A8" s="2" t="inlineStr">
        <is>
          <t>Tenant total if rent paid directly to owner USD</t>
        </is>
      </c>
      <c r="B8" s="2">
        <f>B2+B6</f>
        <v/>
      </c>
      <c r="C8" s="2" t="inlineStr">
        <is>
          <t>Rent plus separate tenant fee</t>
        </is>
      </c>
    </row>
    <row r="9">
      <c r="A9" s="2" t="inlineStr">
        <is>
          <t>Owner net after platform fee USD</t>
        </is>
      </c>
      <c r="B9" s="2">
        <f>B2-B5</f>
        <v/>
      </c>
      <c r="C9" s="2" t="inlineStr">
        <is>
          <t>Assumes owner receives rent then pays platform fee</t>
        </is>
      </c>
    </row>
    <row r="10">
      <c r="A10" s="2" t="inlineStr">
        <is>
          <t>Net profit</t>
        </is>
      </c>
      <c r="B10" s="2">
        <f>B7</f>
        <v/>
      </c>
      <c r="C10" s="2" t="inlineStr">
        <is>
          <t>Not actual profit; deduct all costs/adjustments in accounting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2026-10-12T00:04:32Z</dcterms:created>
  <dcterms:modified xmlns:dcterms="http://purl.org/dc/terms/" xmlns:xsi="http://www.w3.org/2001/XMLSchema-instance" xsi:type="dcterms:W3CDTF">2026-10-12T00:04:32Z</dcterms:modified>
</cp:coreProperties>
</file>